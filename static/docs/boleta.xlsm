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Latitude\Downloads\"/>
    </mc:Choice>
  </mc:AlternateContent>
  <xr:revisionPtr revIDLastSave="0" documentId="13_ncr:1_{B46A4D43-0871-43C1-A94C-5F20A3941F69}" xr6:coauthVersionLast="47" xr6:coauthVersionMax="47" xr10:uidLastSave="{00000000-0000-0000-0000-000000000000}"/>
  <bookViews>
    <workbookView xWindow="-120" yWindow="-120" windowWidth="20730" windowHeight="11160" tabRatio="700" firstSheet="3" activeTab="5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_xlnm.Print_Area" localSheetId="4">'Reporte de Asistencia'!$A$1:$I$51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2" l="1"/>
  <c r="B43" i="12"/>
  <c r="H49" i="12" s="1"/>
  <c r="B40" i="12"/>
  <c r="H40" i="12"/>
  <c r="H19" i="12"/>
  <c r="J20" i="5" l="1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G12" i="12"/>
  <c r="H6" i="5" l="1"/>
  <c r="C14" i="5" l="1"/>
  <c r="B19" i="12" l="1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G14" i="12"/>
  <c r="G13" i="12"/>
  <c r="G11" i="12"/>
  <c r="G10" i="12"/>
  <c r="J6" i="5"/>
  <c r="F6" i="5"/>
  <c r="F7" i="12" l="1"/>
  <c r="D45" i="12"/>
  <c r="D43" i="12" l="1"/>
  <c r="G15" i="12"/>
  <c r="H45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43" i="12" l="1"/>
  <c r="I8" i="5"/>
  <c r="G43" i="12" l="1"/>
  <c r="A12" i="5"/>
  <c r="D46" i="12"/>
  <c r="A14" i="5"/>
  <c r="I10" i="5"/>
  <c r="G46" i="5"/>
  <c r="H48" i="12" l="1"/>
  <c r="J19" i="5" s="1"/>
  <c r="D47" i="12"/>
  <c r="H47" i="12" s="1"/>
  <c r="J18" i="5" s="1"/>
  <c r="C12" i="5"/>
  <c r="H46" i="12" l="1"/>
  <c r="G10" i="5"/>
  <c r="E30" i="5"/>
  <c r="H50" i="12" l="1"/>
  <c r="D48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<sst xmlns="http://schemas.openxmlformats.org/spreadsheetml/2006/main" count="587" uniqueCount="195">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</sst>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[$-F400]h:mm:ss\ AM/PM"/>
    <numFmt numFmtId="165" formatCode="[$-280A]h:mm:ss\ AM/PM;@"/>
    <numFmt numFmtId="166" formatCode="[$-280A]hh:mm:ss\ AM/PM;@"/>
    <numFmt numFmtId="167" formatCode="0.0"/>
    <numFmt numFmtId="168" formatCode="&quot;S/&quot;\ #,##0.00"/>
    <numFmt numFmtId="169" formatCode="[$S/-280A]\ #,##0.00"/>
    <numFmt numFmtId="170" formatCode="dd/mm/yy;@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92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5" fontId="0" fillId="0" borderId="0" xfId="0" applyNumberFormat="1"/>
    <xf numFmtId="165" fontId="0" fillId="2" borderId="0" xfId="0" applyNumberFormat="1" applyFill="1"/>
    <xf numFmtId="165" fontId="0" fillId="5" borderId="0" xfId="0" applyNumberFormat="1" applyFill="1"/>
    <xf numFmtId="165" fontId="0" fillId="6" borderId="0" xfId="0" applyNumberFormat="1" applyFill="1"/>
    <xf numFmtId="165" fontId="0" fillId="7" borderId="0" xfId="0" applyNumberFormat="1" applyFill="1"/>
    <xf numFmtId="165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1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7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8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0" fontId="6" fillId="0" borderId="0" xfId="0" applyNumberFormat="1" applyFont="1" applyBorder="1" applyAlignment="1">
      <alignment vertical="center"/>
    </xf>
    <xf numFmtId="20" fontId="6" fillId="0" borderId="0" xfId="0" applyNumberFormat="1" applyFont="1" applyBorder="1" applyAlignment="1">
      <alignment vertical="center"/>
    </xf>
    <xf numFmtId="46" fontId="0" fillId="0" borderId="0" xfId="0" applyNumberFormat="1" applyAlignment="1"/>
    <xf numFmtId="0" fontId="1" fillId="0" borderId="1" xfId="0" applyFont="1" applyBorder="1"/>
    <xf numFmtId="169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Border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 applyBorder="1"/>
    <xf numFmtId="168" fontId="0" fillId="0" borderId="0" xfId="0" applyNumberFormat="1" applyBorder="1"/>
    <xf numFmtId="1" fontId="10" fillId="8" borderId="0" xfId="0" quotePrefix="1" applyNumberFormat="1" applyFont="1" applyFill="1" applyAlignment="1">
      <alignment horizontal="left"/>
    </xf>
    <xf numFmtId="0" fontId="0" fillId="0" borderId="0" xfId="0" applyBorder="1" applyAlignment="1">
      <alignment vertical="center"/>
    </xf>
    <xf numFmtId="1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right" vertical="center"/>
    </xf>
    <xf numFmtId="2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/>
    <xf numFmtId="0" fontId="0" fillId="0" borderId="0" xfId="0"/>
    <xf numFmtId="0" fontId="1" fillId="9" borderId="27" xfId="0" applyFont="1" applyFill="1" applyBorder="1"/>
    <xf numFmtId="0" fontId="1" fillId="9" borderId="28" xfId="0" applyFont="1" applyFill="1" applyBorder="1"/>
    <xf numFmtId="0" fontId="1" fillId="0" borderId="0" xfId="0" applyFont="1" applyAlignment="1">
      <alignment horizontal="center"/>
    </xf>
    <xf numFmtId="0" fontId="7" fillId="0" borderId="0" xfId="0" applyNumberFormat="1" applyFont="1" applyBorder="1" applyAlignment="1">
      <alignment horizontal="left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  <xf numFmtId="170" fontId="7" fillId="0" borderId="0" xfId="0" applyNumberFormat="1" applyFont="1" applyFill="1" applyBorder="1" applyAlignment="1">
      <alignment horizontal="right" vertical="center"/>
    </xf>
    <xf numFmtId="20" fontId="7" fillId="0" borderId="0" xfId="0" applyNumberFormat="1" applyFont="1" applyBorder="1" applyAlignment="1">
      <alignment horizontal="right" vertical="center"/>
    </xf>
    <xf numFmtId="0" fontId="1" fillId="9" borderId="18" xfId="0" applyFont="1" applyFill="1" applyBorder="1" applyAlignment="1"/>
    <xf numFmtId="0" fontId="1" fillId="9" borderId="19" xfId="0" applyFont="1" applyFill="1" applyBorder="1" applyAlignment="1"/>
    <xf numFmtId="0" fontId="1" fillId="9" borderId="27" xfId="0" applyFont="1" applyFill="1" applyBorder="1" applyAlignment="1"/>
    <xf numFmtId="0" fontId="1" fillId="9" borderId="28" xfId="0" applyFont="1" applyFill="1" applyBorder="1" applyAlignme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10" borderId="27" xfId="0" applyFont="1" applyFill="1" applyBorder="1"/>
    <xf numFmtId="0" fontId="1" fillId="10" borderId="28" xfId="0" applyFont="1" applyFill="1" applyBorder="1"/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0" fillId="0" borderId="0" xfId="0" applyBorder="1" applyAlignment="1">
      <alignment vertical="center"/>
    </xf>
    <xf numFmtId="0" fontId="1" fillId="0" borderId="0" xfId="0" applyFont="1" applyBorder="1"/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/>
    <xf numFmtId="0" fontId="1" fillId="0" borderId="22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46" fontId="0" fillId="0" borderId="18" xfId="0" applyNumberFormat="1" applyBorder="1" applyAlignment="1">
      <alignment horizontal="center"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5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5" formatCode="hh:mm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5" formatCode="[$-280A]h:mm:ss\ AM/PM;@"/>
    </dxf>
    <dxf>
      <numFmt numFmtId="165" formatCode="[$-280A]h:mm:ss\ AM/PM;@"/>
    </dxf>
    <dxf>
      <numFmt numFmtId="165" formatCode="[$-280A]h:mm:ss\ AM/PM;@"/>
    </dxf>
    <dxf>
      <numFmt numFmtId="165" formatCode="[$-280A]h:mm:ss\ AM/PM;@"/>
    </dxf>
    <dxf>
      <numFmt numFmtId="19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5" formatCode="[$-280A]h:mm:ss\ AM/PM;@"/>
    </dxf>
    <dxf>
      <numFmt numFmtId="19" formatCode="d/mm/yyyy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44">
      <calculatedColumnFormula>TODAY()</calculatedColumnFormula>
    </tableColumn>
    <tableColumn id="6" xr3:uid="{00000000-0010-0000-0000-000006000000}" name="Hora" dataDxfId="43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34">
  <autoFilter ref="A3:I95" xr:uid="{00000000-0009-0000-0100-000002000000}"/>
  <tableColumns count="9">
    <tableColumn id="1" xr3:uid="{00000000-0010-0000-0100-000001000000}" name="Codigo" dataDxfId="33"/>
    <tableColumn id="2" xr3:uid="{00000000-0010-0000-0100-000002000000}" name="Area" dataDxfId="32"/>
    <tableColumn id="4" xr3:uid="{00000000-0010-0000-0100-000004000000}" name="Fecha" dataDxfId="31"/>
    <tableColumn id="5" xr3:uid="{00000000-0010-0000-0100-000005000000}" name="Entrada" dataDxfId="30"/>
    <tableColumn id="6" xr3:uid="{00000000-0010-0000-0100-000006000000}" name="Inicio almuerzo" dataDxfId="29"/>
    <tableColumn id="7" xr3:uid="{00000000-0010-0000-0100-000007000000}" name="Fin almuerzo" dataDxfId="28"/>
    <tableColumn id="8" xr3:uid="{00000000-0010-0000-0100-000008000000}" name="Salida" dataDxfId="27"/>
    <tableColumn id="9" xr3:uid="{00000000-0010-0000-0100-000009000000}" name="Horas trabajadas" dataDxfId="26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25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0" totalsRowShown="0" headerRowDxfId="17" dataDxfId="16">
  <autoFilter ref="B18:H40" xr:uid="{368F10F7-D97C-4EEC-91B6-D9619F7D6FB1}"/>
  <tableColumns count="7">
    <tableColumn id="1" xr3:uid="{C741B5AD-BC4E-4DDF-8A54-19D0EC82F746}" name="DIA" dataDxfId="15">
      <calculatedColumnFormula>TEXT(Tabla8[[#This Row],[FECHA]],"dddd")</calculatedColumnFormula>
    </tableColumn>
    <tableColumn id="2" xr3:uid="{81EDD9E2-530E-447E-85A2-FB5B8A2578D3}" name="FECHA" dataDxfId="14"/>
    <tableColumn id="3" xr3:uid="{73E70672-57B9-4C70-9075-A68759984F3B}" name="ENTRADA" dataDxfId="13"/>
    <tableColumn id="4" xr3:uid="{6157444F-1406-49C9-8B49-33D722F13BC6}" name="ALMUERZO INICIO" dataDxfId="12"/>
    <tableColumn id="5" xr3:uid="{B7EE0369-141B-4491-A7E1-87B474010138}" name="ALMUERZO FIN" dataDxfId="11"/>
    <tableColumn id="6" xr3:uid="{67950041-FC7C-4B10-90D2-26520EABD255}" name="SALIDA" dataDxfId="10"/>
    <tableColumn id="7" xr3:uid="{5BC0AEA2-BC40-47EC-BA3A-192392EAE674}" name="TOTAL" dataDxfId="9">
      <calculatedColumnFormula>IF(Tabla8[[#This Row],[ENTRADA]]&gt;G$7,F$10-E$10-Tabla8[[#This Row],[ENTRADA]],IF(Tabla8[[#This Row],[SALIDA]]&lt;F$10,Tabla8[[#This Row],[SALIDA]]-E$10-D$10,G$10))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8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7" totalsRowDxfId="6"/>
    <tableColumn id="3" xr3:uid="{90769DA8-B4F0-415B-8AF5-3B9D03D80B1D}" name="Descanso" dataDxfId="5" totalsRowDxfId="4"/>
    <tableColumn id="4" xr3:uid="{F854A6EF-42E9-4079-A455-B06D4140DF3D}" name="Salida" dataDxfId="3" totalsRowDxfId="2"/>
    <tableColumn id="5" xr3:uid="{A5ED281D-B560-4984-8B62-44B34246263B}" name="Total" totalsRowFunction="custom" dataDxfId="1" totalsRowDxfId="0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baseColWidth="10"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98" t="s">
        <v>18</v>
      </c>
      <c r="C2" s="99"/>
      <c r="D2" s="100"/>
    </row>
    <row r="3" spans="2:4" ht="40.5" customHeight="1" x14ac:dyDescent="0.7">
      <c r="B3" s="101" t="str">
        <f ca="1">TEXT(NOW(),"H:MM am/pm")</f>
        <v>10:12 a. m.</v>
      </c>
      <c r="C3" s="102"/>
      <c r="D3" s="103"/>
    </row>
    <row r="4" spans="2:4" ht="16.5" thickBot="1" x14ac:dyDescent="0.3">
      <c r="B4" s="104">
        <f ca="1">TODAY()</f>
        <v>45632</v>
      </c>
      <c r="C4" s="105"/>
      <c r="D4" s="106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2">
    <dataValidation type="list" allowBlank="1" showInputMessage="1" showErrorMessage="1" sqref="D6" xr:uid="{00000000-0002-0000-0000-000000000000}">
      <formula1>#REF!</formula1>
    </dataValidation>
    <dataValidation type="list" allowBlank="1" showInputMessage="1" showErrorMessage="1" sqref="C5" xr:uid="{00000000-0002-0000-0000-000001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baseColWidth="10"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45632</v>
      </c>
      <c r="F64" s="18" t="str">
        <f ca="1">TEXT(NOW(),"H:MM am/pm")</f>
        <v>10:12 a. 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12" t="s">
        <v>20</v>
      </c>
      <c r="I71" s="113"/>
      <c r="J71" s="114"/>
    </row>
    <row r="72" spans="5:10" x14ac:dyDescent="0.25">
      <c r="E72" s="4"/>
      <c r="F72" s="11"/>
      <c r="H72" s="111" t="s">
        <v>21</v>
      </c>
      <c r="I72" s="115" t="s">
        <v>22</v>
      </c>
      <c r="J72" s="116"/>
    </row>
    <row r="73" spans="5:10" x14ac:dyDescent="0.25">
      <c r="E73" s="4"/>
      <c r="F73" s="11"/>
      <c r="H73" s="110"/>
      <c r="I73" s="117" t="s">
        <v>23</v>
      </c>
      <c r="J73" s="118"/>
    </row>
    <row r="74" spans="5:10" x14ac:dyDescent="0.25">
      <c r="E74" s="4"/>
      <c r="F74" s="11"/>
      <c r="H74" s="109" t="s">
        <v>24</v>
      </c>
      <c r="I74" s="117" t="s">
        <v>25</v>
      </c>
      <c r="J74" s="118"/>
    </row>
    <row r="75" spans="5:10" x14ac:dyDescent="0.25">
      <c r="E75" s="4"/>
      <c r="F75" s="11"/>
      <c r="H75" s="111"/>
      <c r="I75" s="117" t="s">
        <v>26</v>
      </c>
      <c r="J75" s="118"/>
    </row>
    <row r="76" spans="5:10" x14ac:dyDescent="0.25">
      <c r="E76" s="4"/>
      <c r="F76" s="11"/>
      <c r="H76" s="111"/>
      <c r="I76" s="117" t="s">
        <v>27</v>
      </c>
      <c r="J76" s="118"/>
    </row>
    <row r="77" spans="5:10" x14ac:dyDescent="0.25">
      <c r="E77" s="4"/>
      <c r="F77" s="11"/>
      <c r="H77" s="110"/>
      <c r="I77" s="108" t="s">
        <v>28</v>
      </c>
      <c r="J77" s="108"/>
    </row>
    <row r="78" spans="5:10" x14ac:dyDescent="0.25">
      <c r="E78" s="4"/>
      <c r="F78" s="11"/>
      <c r="H78" s="109" t="s">
        <v>29</v>
      </c>
      <c r="I78" s="108" t="s">
        <v>31</v>
      </c>
      <c r="J78" s="108"/>
    </row>
    <row r="79" spans="5:10" x14ac:dyDescent="0.25">
      <c r="E79" s="4"/>
      <c r="F79" s="11"/>
      <c r="H79" s="111"/>
      <c r="I79" s="108" t="s">
        <v>30</v>
      </c>
      <c r="J79" s="108"/>
    </row>
    <row r="80" spans="5:10" x14ac:dyDescent="0.25">
      <c r="E80" s="4"/>
      <c r="F80" s="11"/>
      <c r="H80" s="111"/>
      <c r="I80" s="108" t="s">
        <v>32</v>
      </c>
      <c r="J80" s="108"/>
    </row>
    <row r="81" spans="5:10" x14ac:dyDescent="0.25">
      <c r="E81" s="4"/>
      <c r="F81" s="11"/>
      <c r="H81" s="111"/>
      <c r="I81" s="108" t="s">
        <v>33</v>
      </c>
      <c r="J81" s="108"/>
    </row>
    <row r="82" spans="5:10" x14ac:dyDescent="0.25">
      <c r="E82" s="4"/>
      <c r="F82" s="11"/>
      <c r="H82" s="110"/>
      <c r="I82" s="108" t="s">
        <v>34</v>
      </c>
      <c r="J82" s="108"/>
    </row>
    <row r="83" spans="5:10" x14ac:dyDescent="0.25">
      <c r="E83" s="4"/>
      <c r="F83" s="11"/>
      <c r="H83" s="109" t="s">
        <v>38</v>
      </c>
      <c r="I83" s="108" t="s">
        <v>39</v>
      </c>
      <c r="J83" s="108"/>
    </row>
    <row r="84" spans="5:10" x14ac:dyDescent="0.25">
      <c r="E84" s="4"/>
      <c r="F84" s="11"/>
      <c r="H84" s="110"/>
      <c r="I84" s="108" t="s">
        <v>30</v>
      </c>
      <c r="J84" s="108"/>
    </row>
    <row r="85" spans="5:10" x14ac:dyDescent="0.25">
      <c r="E85" s="4"/>
      <c r="F85" s="11"/>
      <c r="H85" s="24" t="s">
        <v>53</v>
      </c>
      <c r="I85" s="108" t="s">
        <v>54</v>
      </c>
      <c r="J85" s="108"/>
    </row>
    <row r="86" spans="5:10" x14ac:dyDescent="0.25">
      <c r="E86" s="4"/>
      <c r="F86" s="11"/>
      <c r="H86" t="s">
        <v>63</v>
      </c>
      <c r="I86" s="107" t="s">
        <v>64</v>
      </c>
      <c r="J86" s="107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  <mergeCell ref="H72:H73"/>
    <mergeCell ref="I77:J77"/>
    <mergeCell ref="H71:J71"/>
    <mergeCell ref="I72:J72"/>
    <mergeCell ref="I73:J73"/>
    <mergeCell ref="I74:J74"/>
    <mergeCell ref="I86:J86"/>
    <mergeCell ref="I85:J85"/>
    <mergeCell ref="I83:J83"/>
    <mergeCell ref="I84:J84"/>
    <mergeCell ref="H83:H84"/>
  </mergeCells>
  <conditionalFormatting sqref="F65:F69">
    <cfRule type="cellIs" dxfId="45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baseColWidth="10"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42" priority="4" operator="between">
      <formula>$F$2</formula>
      <formula>$E$2</formula>
    </cfRule>
    <cfRule type="cellIs" dxfId="41" priority="5" operator="greaterThan">
      <formula>$E$2</formula>
    </cfRule>
    <cfRule type="cellIs" dxfId="40" priority="6" operator="lessThanOrEqual">
      <formula>$D$2</formula>
    </cfRule>
  </conditionalFormatting>
  <conditionalFormatting sqref="H3:H95">
    <cfRule type="cellIs" dxfId="39" priority="8" operator="lessThan">
      <formula>9.5</formula>
    </cfRule>
  </conditionalFormatting>
  <conditionalFormatting sqref="H4:H95">
    <cfRule type="cellIs" dxfId="38" priority="7" operator="greaterThanOrEqual">
      <formula>$H$1</formula>
    </cfRule>
  </conditionalFormatting>
  <conditionalFormatting sqref="I3:I95">
    <cfRule type="cellIs" dxfId="37" priority="1" operator="equal">
      <formula>$I$2</formula>
    </cfRule>
    <cfRule type="cellIs" dxfId="36" priority="2" operator="greaterThan">
      <formula>$I$2</formula>
    </cfRule>
  </conditionalFormatting>
  <conditionalFormatting sqref="I4:I95">
    <cfRule type="cellIs" dxfId="35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C11" sqref="C11"/>
    </sheetView>
  </sheetViews>
  <sheetFormatPr baseColWidth="10"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9"/>
    </row>
    <row r="3" spans="1:9" x14ac:dyDescent="0.25">
      <c r="A3" s="3" t="s">
        <v>147</v>
      </c>
      <c r="B3" s="69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9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9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9"/>
      <c r="D6" s="62"/>
      <c r="E6" s="63"/>
      <c r="F6" s="63"/>
      <c r="G6" s="63"/>
      <c r="H6" s="63"/>
    </row>
    <row r="7" spans="1:9" x14ac:dyDescent="0.25">
      <c r="A7" s="3" t="s">
        <v>151</v>
      </c>
      <c r="B7" s="69"/>
      <c r="D7" s="62"/>
      <c r="E7" s="63"/>
      <c r="F7" s="63"/>
      <c r="G7" s="63"/>
      <c r="H7" s="63"/>
    </row>
    <row r="8" spans="1:9" x14ac:dyDescent="0.25">
      <c r="A8" s="3" t="s">
        <v>152</v>
      </c>
      <c r="B8" s="73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70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24" priority="1" operator="equal">
      <formula>"Feriado"</formula>
    </cfRule>
    <cfRule type="cellIs" dxfId="23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Reporte">
          <controlPr defaultSize="0" autoLine="0" r:id="rId5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4" name="btnReporte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100" r:id="rId8" name="btnGuardar">
          <controlPr defaultSize="0" autoLine="0" r:id="rId9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8" name="btnGuard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0"/>
  <sheetViews>
    <sheetView view="pageBreakPreview" topLeftCell="A19" zoomScaleNormal="100" zoomScaleSheetLayoutView="100" workbookViewId="0">
      <selection activeCell="J9" sqref="J9"/>
    </sheetView>
  </sheetViews>
  <sheetFormatPr baseColWidth="10"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23" t="s">
        <v>139</v>
      </c>
      <c r="D1" s="124"/>
      <c r="E1" s="124"/>
      <c r="F1" s="124"/>
      <c r="G1" s="125"/>
      <c r="H1" s="119" t="s">
        <v>140</v>
      </c>
      <c r="I1" s="120"/>
    </row>
    <row r="2" spans="1:10" x14ac:dyDescent="0.25">
      <c r="A2" s="37"/>
      <c r="C2" s="126"/>
      <c r="D2" s="127"/>
      <c r="E2" s="127"/>
      <c r="F2" s="127"/>
      <c r="G2" s="128"/>
      <c r="H2" s="121"/>
      <c r="I2" s="122"/>
    </row>
    <row r="3" spans="1:10" x14ac:dyDescent="0.25">
      <c r="A3" s="37"/>
      <c r="C3" s="132" t="str">
        <f>"DEL " &amp;TEXT(Datos!B11,"dd/mm/yyyy")&amp;" AL " &amp;TEXT(Datos!B12,"dd/mm/yyyy")</f>
        <v>DEL 00/01/1900 AL 00/01/1900</v>
      </c>
      <c r="D3" s="133"/>
      <c r="E3" s="133"/>
      <c r="F3" s="133"/>
      <c r="G3" s="134"/>
      <c r="H3" s="119" t="s">
        <v>141</v>
      </c>
      <c r="I3" s="120"/>
    </row>
    <row r="4" spans="1:10" x14ac:dyDescent="0.25">
      <c r="A4" s="36"/>
      <c r="B4" s="38"/>
      <c r="C4" s="135"/>
      <c r="D4" s="136"/>
      <c r="E4" s="136"/>
      <c r="F4" s="136"/>
      <c r="G4" s="137"/>
      <c r="H4" s="121"/>
      <c r="I4" s="122"/>
    </row>
    <row r="6" spans="1:10" x14ac:dyDescent="0.25">
      <c r="A6" s="44" t="s">
        <v>92</v>
      </c>
      <c r="B6" s="129" t="s">
        <v>123</v>
      </c>
      <c r="C6" s="129"/>
      <c r="D6" s="129"/>
      <c r="E6" s="129"/>
      <c r="F6" s="65" t="s">
        <v>164</v>
      </c>
      <c r="G6" s="65" t="s">
        <v>170</v>
      </c>
      <c r="H6" s="130" t="s">
        <v>135</v>
      </c>
      <c r="I6" s="131"/>
    </row>
    <row r="7" spans="1:10" x14ac:dyDescent="0.25">
      <c r="A7" s="24">
        <f>Datos!B2</f>
        <v>0</v>
      </c>
      <c r="B7" s="144">
        <f>Datos!B3</f>
        <v>0</v>
      </c>
      <c r="C7" s="145"/>
      <c r="D7" s="145"/>
      <c r="E7" s="146"/>
      <c r="F7" s="60">
        <f>COUNTIF(Tabla8[DIA],"&lt;&gt;sábado")</f>
        <v>0</v>
      </c>
      <c r="G7" s="67">
        <v>0.34375</v>
      </c>
      <c r="H7" s="142">
        <f>G10*F7</f>
        <v>0</v>
      </c>
      <c r="I7" s="143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1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1:8" x14ac:dyDescent="0.25">
      <c r="B19" s="55" t="str">
        <f>TEXT(Tabla8[[#This Row],[FECHA]],"dddd")</f>
        <v>sábado</v>
      </c>
      <c r="C19" s="62"/>
      <c r="D19" s="68"/>
      <c r="E19" s="68"/>
      <c r="F19" s="91"/>
      <c r="G19" s="68"/>
      <c r="H19" s="52">
        <f>IF(Tabla8[[#This Row],[ENTRADA]]&gt;G$7,F$10-E$10-Tabla8[[#This Row],[ENTRADA]],IF(Tabla8[[#This Row],[SALIDA]]&lt;F$10,Tabla8[[#This Row],[SALIDA]]-E$10-D$10,G$10))</f>
        <v>-0.36805555555555552</v>
      </c>
    </row>
    <row r="20" spans="1:8" x14ac:dyDescent="0.25">
      <c r="B20" s="55" t="str">
        <f>TEXT(Tabla8[[#This Row],[FECHA]],"dddd")</f>
        <v>sábado</v>
      </c>
      <c r="C20" s="62"/>
      <c r="D20" s="68"/>
      <c r="E20" s="68"/>
      <c r="F20" s="68"/>
      <c r="G20" s="68"/>
      <c r="H20" s="52">
        <f>IF(Tabla8[[#This Row],[ENTRADA]]&gt;G$7,F$10-E$10-Tabla8[[#This Row],[ENTRADA]],IF(Tabla8[[#This Row],[SALIDA]]&lt;F$10,Tabla8[[#This Row],[SALIDA]]-E$10-D$10,G$10))</f>
        <v>-0.36805555555555552</v>
      </c>
    </row>
    <row r="21" spans="1:8" x14ac:dyDescent="0.25">
      <c r="A21" s="84"/>
      <c r="B21" s="55" t="str">
        <f>TEXT(Tabla8[[#This Row],[FECHA]],"dddd")</f>
        <v>sábado</v>
      </c>
      <c r="C21" s="62"/>
      <c r="D21" s="68"/>
      <c r="E21" s="91"/>
      <c r="F21" s="68"/>
      <c r="G21" s="68"/>
      <c r="H21" s="52">
        <f>IF(Tabla8[[#This Row],[ENTRADA]]&gt;G$7,F$10-E$10-Tabla8[[#This Row],[ENTRADA]],IF(Tabla8[[#This Row],[SALIDA]]&lt;F$10,Tabla8[[#This Row],[SALIDA]]-E$10-D$10,G$10))</f>
        <v>-0.36805555555555552</v>
      </c>
    </row>
    <row r="22" spans="1:8" x14ac:dyDescent="0.25">
      <c r="A22" s="84"/>
      <c r="B22" s="55" t="str">
        <f>TEXT(Tabla8[[#This Row],[FECHA]],"dddd")</f>
        <v>sábado</v>
      </c>
      <c r="C22" s="62"/>
      <c r="D22" s="68"/>
      <c r="E22" s="68"/>
      <c r="F22" s="68"/>
      <c r="G22" s="68"/>
      <c r="H22" s="52">
        <f>IF(Tabla8[[#This Row],[ENTRADA]]&gt;G$7,F$10-E$10-Tabla8[[#This Row],[ENTRADA]],IF(Tabla8[[#This Row],[SALIDA]]&lt;F$10,Tabla8[[#This Row],[SALIDA]]-E$10-D$10,G$10))</f>
        <v>-0.36805555555555552</v>
      </c>
    </row>
    <row r="23" spans="1:8" x14ac:dyDescent="0.25">
      <c r="A23" s="84"/>
      <c r="B23" s="55" t="str">
        <f>TEXT(Tabla8[[#This Row],[FECHA]],"dddd")</f>
        <v>sábado</v>
      </c>
      <c r="C23" s="62"/>
      <c r="D23" s="68"/>
      <c r="E23" s="68"/>
      <c r="F23" s="68"/>
      <c r="G23" s="68"/>
      <c r="H23" s="52">
        <f>IF(Tabla8[[#This Row],[ENTRADA]]&gt;G$7,F$10-E$10-Tabla8[[#This Row],[ENTRADA]],IF(Tabla8[[#This Row],[SALIDA]]&lt;F$10,Tabla8[[#This Row],[SALIDA]]-E$10-D$10,G$10))</f>
        <v>-0.36805555555555552</v>
      </c>
    </row>
    <row r="24" spans="1:8" x14ac:dyDescent="0.25">
      <c r="A24" s="84"/>
      <c r="B24" s="55" t="str">
        <f>TEXT(Tabla8[[#This Row],[FECHA]],"dddd")</f>
        <v>sábado</v>
      </c>
      <c r="C24" s="62"/>
      <c r="D24" s="68"/>
      <c r="E24" s="68"/>
      <c r="F24" s="68"/>
      <c r="G24" s="68"/>
      <c r="H24" s="52">
        <f>IF(Tabla8[[#This Row],[ENTRADA]]&gt;G$7,F$10-E$10-Tabla8[[#This Row],[ENTRADA]],IF(Tabla8[[#This Row],[SALIDA]]&lt;F$10,Tabla8[[#This Row],[SALIDA]]-E$10-D$10,G$10))</f>
        <v>-0.36805555555555552</v>
      </c>
    </row>
    <row r="25" spans="1:8" x14ac:dyDescent="0.25">
      <c r="A25" s="84"/>
      <c r="B25" s="55" t="str">
        <f>TEXT(Tabla8[[#This Row],[FECHA]],"dddd")</f>
        <v>sábado</v>
      </c>
      <c r="C25" s="62"/>
      <c r="D25" s="68"/>
      <c r="E25" s="68"/>
      <c r="F25" s="68"/>
      <c r="G25" s="68"/>
      <c r="H25" s="52">
        <f>IF(Tabla8[[#This Row],[ENTRADA]]&gt;G$7,F$10-E$10-Tabla8[[#This Row],[ENTRADA]],IF(Tabla8[[#This Row],[SALIDA]]&lt;F$10,Tabla8[[#This Row],[SALIDA]]-E$10-D$10,G$10))</f>
        <v>-0.36805555555555552</v>
      </c>
    </row>
    <row r="26" spans="1:8" x14ac:dyDescent="0.25">
      <c r="A26" s="84"/>
      <c r="B26" s="55" t="str">
        <f>TEXT(Tabla8[[#This Row],[FECHA]],"dddd")</f>
        <v>sábado</v>
      </c>
      <c r="C26" s="62"/>
      <c r="D26" s="68"/>
      <c r="E26" s="68"/>
      <c r="F26" s="68"/>
      <c r="G26" s="68"/>
      <c r="H26" s="52">
        <f>IF(Tabla8[[#This Row],[ENTRADA]]&gt;G$7,F$10-E$10-Tabla8[[#This Row],[ENTRADA]],IF(Tabla8[[#This Row],[SALIDA]]&lt;F$10,Tabla8[[#This Row],[SALIDA]]-E$10-D$10,G$10))</f>
        <v>-0.36805555555555552</v>
      </c>
    </row>
    <row r="27" spans="1:8" x14ac:dyDescent="0.25">
      <c r="A27" s="84"/>
      <c r="B27" s="55" t="str">
        <f>TEXT(Tabla8[[#This Row],[FECHA]],"dddd")</f>
        <v>sábado</v>
      </c>
      <c r="C27" s="62"/>
      <c r="D27" s="68"/>
      <c r="E27" s="68"/>
      <c r="F27" s="68"/>
      <c r="G27" s="68"/>
      <c r="H27" s="52">
        <f>IF(Tabla8[[#This Row],[ENTRADA]]&gt;G$7,F$10-E$10-Tabla8[[#This Row],[ENTRADA]],IF(Tabla8[[#This Row],[SALIDA]]&lt;F$10,Tabla8[[#This Row],[SALIDA]]-E$10-D$10,G$10))</f>
        <v>-0.36805555555555552</v>
      </c>
    </row>
    <row r="28" spans="1:8" x14ac:dyDescent="0.25">
      <c r="A28" s="84"/>
      <c r="B28" s="55" t="str">
        <f>TEXT(Tabla8[[#This Row],[FECHA]],"dddd")</f>
        <v>sábado</v>
      </c>
      <c r="C28" s="62"/>
      <c r="D28" s="68"/>
      <c r="E28" s="68"/>
      <c r="F28" s="68"/>
      <c r="G28" s="68"/>
      <c r="H28" s="52">
        <f>IF(Tabla8[[#This Row],[ENTRADA]]&gt;G$7,F$10-E$10-Tabla8[[#This Row],[ENTRADA]],IF(Tabla8[[#This Row],[SALIDA]]&lt;F$10,Tabla8[[#This Row],[SALIDA]]-E$10-D$10,G$10))</f>
        <v>-0.36805555555555552</v>
      </c>
    </row>
    <row r="29" spans="1:8" x14ac:dyDescent="0.25">
      <c r="A29" s="84"/>
      <c r="B29" s="55" t="str">
        <f>TEXT(Tabla8[[#This Row],[FECHA]],"dddd")</f>
        <v>sábado</v>
      </c>
      <c r="C29" s="62"/>
      <c r="D29" s="68"/>
      <c r="E29" s="68"/>
      <c r="F29" s="68"/>
      <c r="G29" s="68"/>
      <c r="H29" s="52">
        <f>IF(Tabla8[[#This Row],[ENTRADA]]&gt;G$7,F$10-E$10-Tabla8[[#This Row],[ENTRADA]],IF(Tabla8[[#This Row],[SALIDA]]&lt;F$10,Tabla8[[#This Row],[SALIDA]]-E$10-D$10,G$10))</f>
        <v>-0.36805555555555552</v>
      </c>
    </row>
    <row r="30" spans="1:8" x14ac:dyDescent="0.25">
      <c r="A30" s="84"/>
      <c r="B30" s="55" t="str">
        <f>TEXT(Tabla8[[#This Row],[FECHA]],"dddd")</f>
        <v>sábado</v>
      </c>
      <c r="C30" s="62"/>
      <c r="D30" s="68"/>
      <c r="E30" s="68"/>
      <c r="F30" s="68"/>
      <c r="G30" s="68"/>
      <c r="H30" s="52">
        <f>IF(Tabla8[[#This Row],[ENTRADA]]&gt;G$7,F$10-E$10-Tabla8[[#This Row],[ENTRADA]],IF(Tabla8[[#This Row],[SALIDA]]&lt;F$10,Tabla8[[#This Row],[SALIDA]]-E$10-D$10,G$10))</f>
        <v>-0.36805555555555552</v>
      </c>
    </row>
    <row r="31" spans="1:8" x14ac:dyDescent="0.25">
      <c r="A31" s="84"/>
      <c r="B31" s="55" t="str">
        <f>TEXT(Tabla8[[#This Row],[FECHA]],"dddd")</f>
        <v>sábado</v>
      </c>
      <c r="C31" s="62"/>
      <c r="D31" s="68"/>
      <c r="E31" s="68"/>
      <c r="F31" s="68"/>
      <c r="G31" s="68"/>
      <c r="H31" s="52">
        <f>IF(Tabla8[[#This Row],[ENTRADA]]&gt;G$7,F$10-E$10-Tabla8[[#This Row],[ENTRADA]],IF(Tabla8[[#This Row],[SALIDA]]&lt;F$10,Tabla8[[#This Row],[SALIDA]]-E$10-D$10,G$10))</f>
        <v>-0.36805555555555552</v>
      </c>
    </row>
    <row r="32" spans="1:8" x14ac:dyDescent="0.25">
      <c r="A32" s="84"/>
      <c r="B32" s="55" t="str">
        <f>TEXT(Tabla8[[#This Row],[FECHA]],"dddd")</f>
        <v>sábado</v>
      </c>
      <c r="C32" s="62"/>
      <c r="D32" s="68"/>
      <c r="E32" s="68"/>
      <c r="F32" s="68"/>
      <c r="G32" s="68"/>
      <c r="H32" s="52">
        <f>IF(Tabla8[[#This Row],[ENTRADA]]&gt;G$7,F$10-E$10-Tabla8[[#This Row],[ENTRADA]],IF(Tabla8[[#This Row],[SALIDA]]&lt;F$10,Tabla8[[#This Row],[SALIDA]]-E$10-D$10,G$10))</f>
        <v>-0.36805555555555552</v>
      </c>
    </row>
    <row r="33" spans="1:12" x14ac:dyDescent="0.25">
      <c r="A33" s="84"/>
      <c r="B33" s="55" t="str">
        <f>TEXT(Tabla8[[#This Row],[FECHA]],"dddd")</f>
        <v>sábado</v>
      </c>
      <c r="C33" s="62"/>
      <c r="D33" s="68"/>
      <c r="E33" s="68"/>
      <c r="F33" s="68"/>
      <c r="G33" s="68"/>
      <c r="H33" s="52">
        <f>IF(Tabla8[[#This Row],[ENTRADA]]&gt;G$7,F$10-E$10-Tabla8[[#This Row],[ENTRADA]],IF(Tabla8[[#This Row],[SALIDA]]&lt;F$10,Tabla8[[#This Row],[SALIDA]]-E$10-D$10,G$10))</f>
        <v>-0.36805555555555552</v>
      </c>
    </row>
    <row r="34" spans="1:12" x14ac:dyDescent="0.25">
      <c r="A34" s="84"/>
      <c r="B34" s="55" t="str">
        <f>TEXT(Tabla8[[#This Row],[FECHA]],"dddd")</f>
        <v>sábado</v>
      </c>
      <c r="C34" s="62"/>
      <c r="D34" s="68"/>
      <c r="E34" s="68"/>
      <c r="F34" s="68"/>
      <c r="G34" s="68"/>
      <c r="H34" s="52">
        <f>IF(Tabla8[[#This Row],[ENTRADA]]&gt;G$7,F$10-E$10-Tabla8[[#This Row],[ENTRADA]],IF(Tabla8[[#This Row],[SALIDA]]&lt;F$10,Tabla8[[#This Row],[SALIDA]]-E$10-D$10,G$10))</f>
        <v>-0.36805555555555552</v>
      </c>
    </row>
    <row r="35" spans="1:12" x14ac:dyDescent="0.25">
      <c r="A35" s="84"/>
      <c r="B35" s="55" t="str">
        <f>TEXT(Tabla8[[#This Row],[FECHA]],"dddd")</f>
        <v>sábado</v>
      </c>
      <c r="C35" s="62"/>
      <c r="D35" s="68"/>
      <c r="E35" s="68"/>
      <c r="F35" s="68"/>
      <c r="G35" s="68"/>
      <c r="H35" s="52">
        <f>IF(Tabla8[[#This Row],[ENTRADA]]&gt;G$7,F$10-E$10-Tabla8[[#This Row],[ENTRADA]],IF(Tabla8[[#This Row],[SALIDA]]&lt;F$10,Tabla8[[#This Row],[SALIDA]]-E$10-D$10,G$10))</f>
        <v>-0.36805555555555552</v>
      </c>
    </row>
    <row r="36" spans="1:12" x14ac:dyDescent="0.25">
      <c r="A36" s="84"/>
      <c r="B36" s="55" t="str">
        <f>TEXT(Tabla8[[#This Row],[FECHA]],"dddd")</f>
        <v>sábado</v>
      </c>
      <c r="C36" s="62"/>
      <c r="D36" s="68"/>
      <c r="E36" s="68"/>
      <c r="F36" s="68"/>
      <c r="G36" s="68"/>
      <c r="H36" s="52">
        <f>IF(Tabla8[[#This Row],[ENTRADA]]&gt;G$7,F$10-E$10-Tabla8[[#This Row],[ENTRADA]],IF(Tabla8[[#This Row],[SALIDA]]&lt;F$10,Tabla8[[#This Row],[SALIDA]]-E$10-D$10,G$10))</f>
        <v>-0.36805555555555552</v>
      </c>
    </row>
    <row r="37" spans="1:12" x14ac:dyDescent="0.25">
      <c r="A37" s="84"/>
      <c r="B37" s="55" t="str">
        <f>TEXT(Tabla8[[#This Row],[FECHA]],"dddd")</f>
        <v>sábado</v>
      </c>
      <c r="C37" s="62"/>
      <c r="D37" s="68"/>
      <c r="E37" s="68"/>
      <c r="F37" s="68"/>
      <c r="G37" s="68"/>
      <c r="H37" s="52">
        <f>IF(Tabla8[[#This Row],[ENTRADA]]&gt;G$7,F$10-E$10-Tabla8[[#This Row],[ENTRADA]],IF(Tabla8[[#This Row],[SALIDA]]&lt;F$10,Tabla8[[#This Row],[SALIDA]]-E$10-D$10,G$10))</f>
        <v>-0.36805555555555552</v>
      </c>
    </row>
    <row r="38" spans="1:12" x14ac:dyDescent="0.25">
      <c r="A38" s="84"/>
      <c r="B38" s="55" t="str">
        <f>TEXT(Tabla8[[#This Row],[FECHA]],"dddd")</f>
        <v>sábado</v>
      </c>
      <c r="C38" s="62"/>
      <c r="D38" s="68"/>
      <c r="E38" s="68"/>
      <c r="F38" s="68"/>
      <c r="G38" s="68"/>
      <c r="H38" s="52">
        <f>IF(Tabla8[[#This Row],[ENTRADA]]&gt;G$7,F$10-E$10-Tabla8[[#This Row],[ENTRADA]],IF(Tabla8[[#This Row],[SALIDA]]&lt;F$10,Tabla8[[#This Row],[SALIDA]]-E$10-D$10,G$10))</f>
        <v>-0.36805555555555552</v>
      </c>
    </row>
    <row r="39" spans="1:12" x14ac:dyDescent="0.25">
      <c r="A39" s="84"/>
      <c r="B39" s="55" t="str">
        <f>TEXT(Tabla8[[#This Row],[FECHA]],"dddd")</f>
        <v>sábado</v>
      </c>
      <c r="C39" s="62"/>
      <c r="D39" s="68"/>
      <c r="E39" s="68"/>
      <c r="F39" s="68"/>
      <c r="G39" s="68"/>
      <c r="H39" s="52">
        <f>IF(Tabla8[[#This Row],[ENTRADA]]&gt;G$7,F$10-E$10-Tabla8[[#This Row],[ENTRADA]],IF(Tabla8[[#This Row],[SALIDA]]&lt;F$10,Tabla8[[#This Row],[SALIDA]]-E$10-D$10,G$10))</f>
        <v>-0.36805555555555552</v>
      </c>
      <c r="I39" s="51"/>
      <c r="J39" s="105"/>
      <c r="K39" s="105"/>
    </row>
    <row r="40" spans="1:12" x14ac:dyDescent="0.25">
      <c r="A40" s="84"/>
      <c r="B40" s="89" t="str">
        <f>TEXT(Tabla8[[#This Row],[FECHA]],"dddd")</f>
        <v>sábado</v>
      </c>
      <c r="C40" s="92"/>
      <c r="D40" s="93"/>
      <c r="E40" s="91"/>
      <c r="F40" s="91"/>
      <c r="G40" s="91"/>
      <c r="H40" s="90">
        <f>IF(Tabla8[[#This Row],[ENTRADA]]&gt;G$7,F$10-E$10-Tabla8[[#This Row],[ENTRADA]],IF(Tabla8[[#This Row],[SALIDA]]&lt;F$10,Tabla8[[#This Row],[SALIDA]]-E$10-D$10,G$10))</f>
        <v>-0.36805555555555552</v>
      </c>
      <c r="I40" s="23"/>
      <c r="J40" s="105" t="s">
        <v>191</v>
      </c>
      <c r="K40" s="105"/>
      <c r="L40" s="47">
        <v>0.57638888888888895</v>
      </c>
    </row>
    <row r="41" spans="1:12" x14ac:dyDescent="0.25">
      <c r="A41" s="84"/>
      <c r="I41" s="64"/>
    </row>
    <row r="42" spans="1:12" x14ac:dyDescent="0.25">
      <c r="A42" s="59" t="s">
        <v>162</v>
      </c>
      <c r="B42" s="59" t="s">
        <v>144</v>
      </c>
      <c r="C42" s="88" t="s">
        <v>193</v>
      </c>
      <c r="D42" s="59" t="s">
        <v>163</v>
      </c>
      <c r="E42" s="155" t="s">
        <v>165</v>
      </c>
      <c r="F42" s="155"/>
      <c r="G42" s="155" t="s">
        <v>166</v>
      </c>
      <c r="H42" s="155"/>
      <c r="J42" s="147" t="s">
        <v>159</v>
      </c>
      <c r="K42" s="148"/>
      <c r="L42" s="42"/>
    </row>
    <row r="43" spans="1:12" x14ac:dyDescent="0.25">
      <c r="A43">
        <v>0</v>
      </c>
      <c r="B43">
        <f>COUNTIF(Tabla8[ENTRADA],"&gt;"&amp;G7)</f>
        <v>0</v>
      </c>
      <c r="C43" s="85">
        <f>COUNTIF(Tabla8[ALMUERZO FIN],"&gt;"&amp;L40)</f>
        <v>0</v>
      </c>
      <c r="D43">
        <f>COUNTBLANK(Tabla8[TOTAL])</f>
        <v>0</v>
      </c>
      <c r="E43" s="156">
        <f>SUM(Tabla8[TOTAL])</f>
        <v>-8.0972222222222197</v>
      </c>
      <c r="F43" s="156"/>
      <c r="G43" s="156">
        <f>IF(H7&gt;E43,H7-E43,"00:00")</f>
        <v>8.0972222222222197</v>
      </c>
      <c r="H43" s="156"/>
      <c r="I43" s="41"/>
      <c r="J43" s="151" t="s">
        <v>158</v>
      </c>
      <c r="K43" s="152"/>
      <c r="L43" s="1"/>
    </row>
    <row r="45" spans="1:12" x14ac:dyDescent="0.25">
      <c r="B45" s="153" t="s">
        <v>121</v>
      </c>
      <c r="C45" s="154"/>
      <c r="D45" s="46">
        <f>Datos!B6</f>
        <v>0</v>
      </c>
      <c r="F45" s="147" t="s">
        <v>134</v>
      </c>
      <c r="G45" s="148"/>
      <c r="H45" s="48">
        <f>L42+L43/60</f>
        <v>0</v>
      </c>
    </row>
    <row r="46" spans="1:12" x14ac:dyDescent="0.25">
      <c r="B46" s="138" t="s">
        <v>183</v>
      </c>
      <c r="C46" s="139"/>
      <c r="D46" s="46">
        <f>D45/30</f>
        <v>0</v>
      </c>
      <c r="E46" s="43"/>
      <c r="F46" s="149" t="s">
        <v>166</v>
      </c>
      <c r="G46" s="150"/>
      <c r="H46" s="46">
        <f>$D$47*$H$45*2</f>
        <v>0</v>
      </c>
    </row>
    <row r="47" spans="1:12" x14ac:dyDescent="0.25">
      <c r="B47" s="138" t="s">
        <v>184</v>
      </c>
      <c r="C47" s="139"/>
      <c r="D47" s="46">
        <f>D46/8</f>
        <v>0</v>
      </c>
      <c r="F47" s="86" t="s">
        <v>192</v>
      </c>
      <c r="G47" s="87"/>
      <c r="H47" s="46">
        <f>C43*D47/2</f>
        <v>0</v>
      </c>
      <c r="I47" s="71"/>
    </row>
    <row r="48" spans="1:12" x14ac:dyDescent="0.25">
      <c r="B48" s="140" t="s">
        <v>108</v>
      </c>
      <c r="C48" s="141"/>
      <c r="D48" s="66">
        <f>ROUND(D45-H46,1)</f>
        <v>0</v>
      </c>
      <c r="E48" s="43"/>
      <c r="F48" s="96" t="s">
        <v>186</v>
      </c>
      <c r="G48" s="97"/>
      <c r="H48" s="46">
        <f>$D$43*$D$46*2</f>
        <v>0</v>
      </c>
      <c r="I48" s="72"/>
    </row>
    <row r="49" spans="2:8" x14ac:dyDescent="0.25">
      <c r="F49" s="96" t="s">
        <v>185</v>
      </c>
      <c r="G49" s="97"/>
      <c r="H49" s="46">
        <f>IF($B$43&gt;=4,$D$46,0)</f>
        <v>0</v>
      </c>
    </row>
    <row r="50" spans="2:8" x14ac:dyDescent="0.25">
      <c r="B50" s="105"/>
      <c r="C50" s="105"/>
      <c r="F50" s="94" t="s">
        <v>187</v>
      </c>
      <c r="G50" s="95"/>
      <c r="H50" s="46">
        <f>SUM(H46:H49)</f>
        <v>0</v>
      </c>
    </row>
  </sheetData>
  <mergeCells count="23">
    <mergeCell ref="J42:K42"/>
    <mergeCell ref="F45:G45"/>
    <mergeCell ref="F46:G46"/>
    <mergeCell ref="J43:K43"/>
    <mergeCell ref="B45:C45"/>
    <mergeCell ref="B46:C46"/>
    <mergeCell ref="E42:F42"/>
    <mergeCell ref="E43:F43"/>
    <mergeCell ref="G42:H42"/>
    <mergeCell ref="G43:H43"/>
    <mergeCell ref="B50:C50"/>
    <mergeCell ref="B47:C47"/>
    <mergeCell ref="B48:C48"/>
    <mergeCell ref="H7:I7"/>
    <mergeCell ref="B7:E7"/>
    <mergeCell ref="J39:K39"/>
    <mergeCell ref="J40:K40"/>
    <mergeCell ref="H1:I2"/>
    <mergeCell ref="C1:G2"/>
    <mergeCell ref="B6:E6"/>
    <mergeCell ref="H6:I6"/>
    <mergeCell ref="C3:G4"/>
    <mergeCell ref="H3:I4"/>
  </mergeCells>
  <phoneticPr fontId="9" type="noConversion"/>
  <conditionalFormatting sqref="D19:G40">
    <cfRule type="cellIs" dxfId="22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0">
    <cfRule type="cellIs" dxfId="21" priority="1" operator="equal">
      <formula>"Vacaciones"</formula>
    </cfRule>
    <cfRule type="cellIs" dxfId="20" priority="5" operator="greaterThan">
      <formula>$G$7</formula>
    </cfRule>
    <cfRule type="cellIs" dxfId="19" priority="7" operator="greaterThan">
      <formula>$D$10</formula>
    </cfRule>
  </conditionalFormatting>
  <conditionalFormatting sqref="F19:F40">
    <cfRule type="cellIs" dxfId="18" priority="12" operator="greaterThan">
      <formula>$L$40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tabSelected="1" showRuler="0" view="pageLayout" zoomScale="80" zoomScaleNormal="100" zoomScalePageLayoutView="80" workbookViewId="0">
      <selection activeCell="F6" sqref="F6:G6"/>
    </sheetView>
  </sheetViews>
  <sheetFormatPr baseColWidth="10"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23" t="s">
        <v>91</v>
      </c>
      <c r="D1" s="124"/>
      <c r="E1" s="124"/>
      <c r="F1" s="124"/>
      <c r="G1" s="125"/>
      <c r="H1" s="119" t="s">
        <v>113</v>
      </c>
      <c r="I1" s="164"/>
      <c r="J1" s="120"/>
    </row>
    <row r="2" spans="1:10" ht="15.75" customHeight="1" x14ac:dyDescent="0.25">
      <c r="A2" s="37"/>
      <c r="C2" s="126"/>
      <c r="D2" s="127"/>
      <c r="E2" s="127"/>
      <c r="F2" s="127"/>
      <c r="G2" s="128"/>
      <c r="H2" s="121"/>
      <c r="I2" s="165"/>
      <c r="J2" s="122"/>
    </row>
    <row r="3" spans="1:10" ht="43.5" customHeight="1" x14ac:dyDescent="0.25">
      <c r="A3" s="36"/>
      <c r="B3" s="38"/>
      <c r="C3" s="144" t="str">
        <f>'Reporte de Asistencia'!C3</f>
        <v>DEL 00/01/1900 AL 00/01/1900</v>
      </c>
      <c r="D3" s="145"/>
      <c r="E3" s="145"/>
      <c r="F3" s="145"/>
      <c r="G3" s="146"/>
      <c r="H3" s="130" t="s">
        <v>188</v>
      </c>
      <c r="I3" s="166"/>
      <c r="J3" s="131"/>
    </row>
    <row r="5" spans="1:10" ht="19.5" customHeight="1" x14ac:dyDescent="0.25">
      <c r="A5" s="79" t="s">
        <v>92</v>
      </c>
      <c r="B5" s="172" t="s">
        <v>123</v>
      </c>
      <c r="C5" s="173"/>
      <c r="D5" s="173"/>
      <c r="E5" s="174"/>
      <c r="F5" s="119" t="s">
        <v>116</v>
      </c>
      <c r="G5" s="120"/>
      <c r="H5" s="119" t="s">
        <v>143</v>
      </c>
      <c r="I5" s="120"/>
      <c r="J5" s="81" t="s">
        <v>93</v>
      </c>
    </row>
    <row r="6" spans="1:10" ht="18" customHeight="1" x14ac:dyDescent="0.25">
      <c r="A6" s="80">
        <f>'Reporte de Asistencia'!A7</f>
        <v>0</v>
      </c>
      <c r="B6" s="178">
        <f>'Reporte de Asistencia'!B7</f>
        <v>0</v>
      </c>
      <c r="C6" s="179"/>
      <c r="D6" s="179"/>
      <c r="E6" s="180"/>
      <c r="F6" s="177">
        <f>Datos!B10</f>
        <v>0</v>
      </c>
      <c r="G6" s="137"/>
      <c r="H6" s="177" t="str">
        <f>IF(Datos!B13="","",Datos!B13)</f>
        <v/>
      </c>
      <c r="I6" s="137"/>
      <c r="J6" s="82">
        <f>Datos!B6</f>
        <v>0</v>
      </c>
    </row>
    <row r="7" spans="1:10" ht="18.75" customHeight="1" x14ac:dyDescent="0.25">
      <c r="A7" s="172" t="s">
        <v>94</v>
      </c>
      <c r="B7" s="174"/>
      <c r="C7" s="172" t="s">
        <v>95</v>
      </c>
      <c r="D7" s="173"/>
      <c r="E7" s="173"/>
      <c r="F7" s="173"/>
      <c r="G7" s="173"/>
      <c r="H7" s="174"/>
      <c r="I7" s="119" t="s">
        <v>118</v>
      </c>
      <c r="J7" s="120"/>
    </row>
    <row r="8" spans="1:10" ht="18" customHeight="1" x14ac:dyDescent="0.25">
      <c r="A8" s="178">
        <f>Datos!B4</f>
        <v>0</v>
      </c>
      <c r="B8" s="180"/>
      <c r="C8" s="135"/>
      <c r="D8" s="136"/>
      <c r="E8" s="136"/>
      <c r="F8" s="136"/>
      <c r="G8" s="136"/>
      <c r="H8" s="137"/>
      <c r="I8" s="135">
        <f>'Reporte de Asistencia'!B43</f>
        <v>0</v>
      </c>
      <c r="J8" s="137"/>
    </row>
    <row r="9" spans="1:10" ht="17.25" customHeight="1" x14ac:dyDescent="0.25">
      <c r="A9" s="172" t="s">
        <v>96</v>
      </c>
      <c r="B9" s="173"/>
      <c r="C9" s="173"/>
      <c r="D9" s="173"/>
      <c r="E9" s="173"/>
      <c r="F9" s="174"/>
      <c r="G9" s="119" t="s">
        <v>117</v>
      </c>
      <c r="H9" s="120"/>
      <c r="I9" s="119" t="s">
        <v>97</v>
      </c>
      <c r="J9" s="120"/>
    </row>
    <row r="10" spans="1:10" ht="18.75" customHeight="1" x14ac:dyDescent="0.25">
      <c r="A10" s="178">
        <f>Datos!B5</f>
        <v>0</v>
      </c>
      <c r="B10" s="179"/>
      <c r="C10" s="179"/>
      <c r="D10" s="179"/>
      <c r="E10" s="179"/>
      <c r="F10" s="180"/>
      <c r="G10" s="181">
        <f>'Reporte de Asistencia'!G43</f>
        <v>8.0972222222222197</v>
      </c>
      <c r="H10" s="137"/>
      <c r="I10" s="135">
        <f>'Reporte de Asistencia'!D43</f>
        <v>0</v>
      </c>
      <c r="J10" s="137"/>
    </row>
    <row r="11" spans="1:10" ht="18" customHeight="1" x14ac:dyDescent="0.25">
      <c r="A11" s="119" t="s">
        <v>98</v>
      </c>
      <c r="B11" s="120"/>
      <c r="C11" s="119" t="s">
        <v>122</v>
      </c>
      <c r="D11" s="120"/>
      <c r="E11" s="119" t="s">
        <v>100</v>
      </c>
      <c r="F11" s="120"/>
      <c r="G11" s="119" t="s">
        <v>101</v>
      </c>
      <c r="H11" s="120"/>
      <c r="I11" s="119" t="s">
        <v>104</v>
      </c>
      <c r="J11" s="120"/>
    </row>
    <row r="12" spans="1:10" ht="18" customHeight="1" x14ac:dyDescent="0.25">
      <c r="A12" s="167">
        <f>'Reporte de Asistencia'!F7</f>
        <v>0</v>
      </c>
      <c r="B12" s="168"/>
      <c r="C12" s="175">
        <f>'Reporte de Asistencia'!H7</f>
        <v>0</v>
      </c>
      <c r="D12" s="168"/>
      <c r="E12" s="176" t="s">
        <v>114</v>
      </c>
      <c r="F12" s="168"/>
      <c r="G12" s="167" t="s">
        <v>114</v>
      </c>
      <c r="H12" s="168"/>
      <c r="I12" s="167" t="s">
        <v>105</v>
      </c>
      <c r="J12" s="168"/>
    </row>
    <row r="13" spans="1:10" ht="18" customHeight="1" x14ac:dyDescent="0.25">
      <c r="A13" s="119" t="s">
        <v>99</v>
      </c>
      <c r="B13" s="120"/>
      <c r="C13" s="182" t="s">
        <v>138</v>
      </c>
      <c r="D13" s="183"/>
      <c r="E13" s="119">
        <f>Datos!B7</f>
        <v>0</v>
      </c>
      <c r="F13" s="164"/>
      <c r="G13" s="120"/>
      <c r="H13" s="184" t="s">
        <v>189</v>
      </c>
      <c r="I13" s="107"/>
      <c r="J13" s="185"/>
    </row>
    <row r="14" spans="1:10" ht="18" customHeight="1" x14ac:dyDescent="0.25">
      <c r="A14" s="181">
        <f>'Reporte de Asistencia'!E43</f>
        <v>-8.0972222222222197</v>
      </c>
      <c r="B14" s="137"/>
      <c r="C14" s="169">
        <f>'Reporte de Asistencia'!A43</f>
        <v>0</v>
      </c>
      <c r="D14" s="170"/>
      <c r="E14" s="190">
        <f>Datos!B8</f>
        <v>0</v>
      </c>
      <c r="F14" s="191"/>
      <c r="G14" s="170"/>
      <c r="H14" s="186" t="s">
        <v>114</v>
      </c>
      <c r="I14" s="187"/>
      <c r="J14" s="188"/>
    </row>
    <row r="15" spans="1:10" x14ac:dyDescent="0.25">
      <c r="A15" s="189" t="s">
        <v>102</v>
      </c>
      <c r="B15" s="189"/>
      <c r="C15" s="189"/>
      <c r="D15" s="189"/>
      <c r="E15" s="189"/>
      <c r="F15" s="189" t="s">
        <v>190</v>
      </c>
      <c r="G15" s="189"/>
      <c r="H15" s="189"/>
      <c r="I15" s="189"/>
      <c r="J15" s="189"/>
    </row>
    <row r="16" spans="1:10" x14ac:dyDescent="0.25">
      <c r="A16" s="189"/>
      <c r="B16" s="189"/>
      <c r="C16" s="189"/>
      <c r="D16" s="189"/>
      <c r="E16" s="189"/>
      <c r="F16" s="189"/>
      <c r="G16" s="189"/>
      <c r="H16" s="189"/>
      <c r="I16" s="189"/>
      <c r="J16" s="189"/>
    </row>
    <row r="17" spans="1:10" x14ac:dyDescent="0.25">
      <c r="A17" s="171" t="s">
        <v>103</v>
      </c>
      <c r="B17" s="171"/>
      <c r="C17" s="74"/>
      <c r="D17" s="74"/>
      <c r="E17" s="75">
        <f>'Reporte de Asistencia'!D45</f>
        <v>0</v>
      </c>
      <c r="F17" s="157" t="s">
        <v>115</v>
      </c>
      <c r="G17" s="157"/>
      <c r="H17" s="157"/>
      <c r="I17" s="157"/>
      <c r="J17" s="71">
        <f>ROUND('Reporte de Asistencia'!H46,1)</f>
        <v>0</v>
      </c>
    </row>
    <row r="18" spans="1:10" x14ac:dyDescent="0.25">
      <c r="A18" s="171" t="s">
        <v>176</v>
      </c>
      <c r="B18" s="171"/>
      <c r="C18" s="171"/>
      <c r="D18" s="171"/>
      <c r="E18" s="76" t="s">
        <v>114</v>
      </c>
      <c r="F18" s="163" t="s">
        <v>194</v>
      </c>
      <c r="G18" s="163"/>
      <c r="H18" s="163"/>
      <c r="I18" s="163"/>
      <c r="J18" s="71">
        <f>ROUND('Reporte de Asistencia'!H47,1)</f>
        <v>0</v>
      </c>
    </row>
    <row r="19" spans="1:10" x14ac:dyDescent="0.25">
      <c r="A19" s="171" t="s">
        <v>177</v>
      </c>
      <c r="B19" s="171"/>
      <c r="C19" s="171"/>
      <c r="D19" s="171"/>
      <c r="E19" s="76" t="s">
        <v>114</v>
      </c>
      <c r="F19" s="157" t="s">
        <v>180</v>
      </c>
      <c r="G19" s="157"/>
      <c r="H19" s="157"/>
      <c r="I19" s="157"/>
      <c r="J19" s="77">
        <f>ROUND('Reporte de Asistencia'!H48,1)</f>
        <v>0</v>
      </c>
    </row>
    <row r="20" spans="1:10" x14ac:dyDescent="0.25">
      <c r="A20" s="157" t="s">
        <v>178</v>
      </c>
      <c r="B20" s="157"/>
      <c r="C20" s="157"/>
      <c r="D20" s="157"/>
      <c r="E20" s="76" t="s">
        <v>114</v>
      </c>
      <c r="F20" s="157" t="s">
        <v>181</v>
      </c>
      <c r="G20" s="157"/>
      <c r="H20" s="157"/>
      <c r="I20" s="157"/>
      <c r="J20" s="77">
        <f>ROUND('Reporte de Asistencia'!H49,1)</f>
        <v>0</v>
      </c>
    </row>
    <row r="21" spans="1:10" x14ac:dyDescent="0.25">
      <c r="A21" s="157" t="s">
        <v>179</v>
      </c>
      <c r="B21" s="157"/>
      <c r="C21" s="157"/>
      <c r="D21" s="157"/>
      <c r="E21" s="76" t="s">
        <v>114</v>
      </c>
      <c r="F21" s="157" t="s">
        <v>182</v>
      </c>
      <c r="G21" s="157"/>
      <c r="H21" s="157"/>
      <c r="I21" s="157"/>
      <c r="J21" s="78" t="s">
        <v>114</v>
      </c>
    </row>
    <row r="22" spans="1:10" x14ac:dyDescent="0.25">
      <c r="A22" s="50"/>
      <c r="F22" s="163"/>
      <c r="G22" s="163"/>
      <c r="H22" s="163"/>
      <c r="I22" s="163"/>
    </row>
    <row r="24" spans="1:10" x14ac:dyDescent="0.25">
      <c r="A24" s="49"/>
      <c r="B24" s="47"/>
      <c r="C24" s="47"/>
    </row>
    <row r="30" spans="1:10" x14ac:dyDescent="0.25">
      <c r="A30" s="159" t="s">
        <v>106</v>
      </c>
      <c r="B30" s="159"/>
      <c r="C30" s="159"/>
      <c r="D30" s="159"/>
      <c r="E30" s="42">
        <f>SUM(E17:E20)</f>
        <v>0</v>
      </c>
      <c r="F30" s="160" t="s">
        <v>107</v>
      </c>
      <c r="G30" s="161"/>
      <c r="H30" s="161"/>
      <c r="I30" s="162"/>
      <c r="J30" s="48">
        <f>ROUND(SUM(J17:J21),1)</f>
        <v>0</v>
      </c>
    </row>
    <row r="31" spans="1:10" x14ac:dyDescent="0.25">
      <c r="F31" s="159" t="s">
        <v>108</v>
      </c>
      <c r="G31" s="159"/>
      <c r="H31" s="159"/>
      <c r="I31" s="159"/>
      <c r="J31" s="46">
        <f>E30-J30</f>
        <v>0</v>
      </c>
    </row>
    <row r="45" spans="1:10" x14ac:dyDescent="0.25">
      <c r="A45" s="107" t="s">
        <v>109</v>
      </c>
      <c r="B45" s="107"/>
      <c r="C45" s="107"/>
      <c r="D45" s="107"/>
      <c r="G45" s="107" t="s">
        <v>110</v>
      </c>
      <c r="H45" s="107"/>
      <c r="I45" s="107"/>
      <c r="J45" s="107"/>
    </row>
    <row r="46" spans="1:10" x14ac:dyDescent="0.25">
      <c r="A46" s="105" t="s">
        <v>119</v>
      </c>
      <c r="B46" s="105"/>
      <c r="C46" s="105"/>
      <c r="D46" s="105"/>
      <c r="G46" s="105">
        <f>A10</f>
        <v>0</v>
      </c>
      <c r="H46" s="105"/>
      <c r="I46" s="105"/>
      <c r="J46" s="105"/>
    </row>
    <row r="47" spans="1:10" x14ac:dyDescent="0.25">
      <c r="A47" s="105" t="s">
        <v>160</v>
      </c>
      <c r="B47" s="105"/>
      <c r="C47" s="105"/>
      <c r="D47" s="105"/>
      <c r="G47" s="105">
        <f>B6</f>
        <v>0</v>
      </c>
      <c r="H47" s="105"/>
      <c r="I47" s="105"/>
      <c r="J47" s="105"/>
    </row>
    <row r="58" spans="1:4" x14ac:dyDescent="0.25">
      <c r="A58" s="158"/>
      <c r="B58" s="158"/>
      <c r="C58" s="72"/>
      <c r="D58" s="83"/>
    </row>
    <row r="59" spans="1:4" x14ac:dyDescent="0.25">
      <c r="A59" s="158"/>
      <c r="B59" s="158"/>
      <c r="C59" s="72"/>
      <c r="D59" s="83"/>
    </row>
    <row r="60" spans="1:4" x14ac:dyDescent="0.25">
      <c r="A60" s="158"/>
      <c r="B60" s="158"/>
      <c r="C60" s="72"/>
      <c r="D60" s="83"/>
    </row>
    <row r="67" spans="1:2" x14ac:dyDescent="0.25">
      <c r="A67" t="s">
        <v>120</v>
      </c>
      <c r="B67" t="s">
        <v>124</v>
      </c>
    </row>
  </sheetData>
  <mergeCells count="65"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I12:J12"/>
    <mergeCell ref="I9:J9"/>
    <mergeCell ref="A12:B12"/>
    <mergeCell ref="C12:D12"/>
    <mergeCell ref="E12:F1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baseColWidth="10"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</dc:creator>
  <cp:lastModifiedBy>Dell Latitude</cp:lastModifiedBy>
  <cp:lastPrinted>2024-04-19T22:04:00Z</cp:lastPrinted>
  <dcterms:created xsi:type="dcterms:W3CDTF">2021-11-24T13:34:33Z</dcterms:created>
  <dcterms:modified xsi:type="dcterms:W3CDTF">2024-12-06T15:13:10Z</dcterms:modified>
</cp:coreProperties>
</file>